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ron/Documents/Projects/Office_Expense_Tracker_Project/"/>
    </mc:Choice>
  </mc:AlternateContent>
  <xr:revisionPtr revIDLastSave="0" documentId="13_ncr:1_{45CCEA7F-D965-A640-BFD4-F808239292EE}" xr6:coauthVersionLast="47" xr6:coauthVersionMax="47" xr10:uidLastSave="{00000000-0000-0000-0000-000000000000}"/>
  <bookViews>
    <workbookView xWindow="7800" yWindow="660" windowWidth="28720" windowHeight="20980" xr2:uid="{D65A2352-7909-D341-A76A-A421101F439A}"/>
  </bookViews>
  <sheets>
    <sheet name="Expenses" sheetId="1" r:id="rId1"/>
    <sheet name="Lists" sheetId="3" r:id="rId2"/>
    <sheet name="Dashboard" sheetId="2" r:id="rId3"/>
  </sheets>
  <calcPr calcId="181029"/>
  <pivotCaches>
    <pivotCache cacheId="4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2" l="1"/>
  <c r="B1" i="2"/>
  <c r="E3" i="2"/>
  <c r="E2" i="2"/>
  <c r="E27" i="1"/>
  <c r="E1" i="2" s="1"/>
  <c r="G27" i="1"/>
  <c r="H1" i="2" s="1"/>
</calcChain>
</file>

<file path=xl/sharedStrings.xml><?xml version="1.0" encoding="utf-8"?>
<sst xmlns="http://schemas.openxmlformats.org/spreadsheetml/2006/main" count="185" uniqueCount="71">
  <si>
    <t>Date</t>
  </si>
  <si>
    <t>Description</t>
  </si>
  <si>
    <t>Payment Method</t>
  </si>
  <si>
    <t>Vendor / Supplier</t>
  </si>
  <si>
    <t>Status</t>
  </si>
  <si>
    <t>Amount ($)</t>
  </si>
  <si>
    <t>Category / Description</t>
  </si>
  <si>
    <t>Office Supplies</t>
  </si>
  <si>
    <t>Travel</t>
  </si>
  <si>
    <t>Utilities</t>
  </si>
  <si>
    <t>Software</t>
  </si>
  <si>
    <t>Training</t>
  </si>
  <si>
    <t>Coursera</t>
  </si>
  <si>
    <t>Amazon</t>
  </si>
  <si>
    <t>Staples</t>
  </si>
  <si>
    <t>Microsoft</t>
  </si>
  <si>
    <t>Uber</t>
  </si>
  <si>
    <t>Other</t>
  </si>
  <si>
    <t>Credit Card</t>
  </si>
  <si>
    <t>Debit Card</t>
  </si>
  <si>
    <t>Cash</t>
  </si>
  <si>
    <t>Bank Transfer</t>
  </si>
  <si>
    <t>Pending</t>
  </si>
  <si>
    <t>Approved</t>
  </si>
  <si>
    <t>Reimbursed</t>
  </si>
  <si>
    <t>Rejected</t>
  </si>
  <si>
    <t>Printer paper purchase</t>
  </si>
  <si>
    <t>Monthly subscription</t>
  </si>
  <si>
    <t>Local transit fare</t>
  </si>
  <si>
    <t>TTC</t>
  </si>
  <si>
    <t>Desk organizer</t>
  </si>
  <si>
    <t>Online course fee</t>
  </si>
  <si>
    <t>Internet payment</t>
  </si>
  <si>
    <t>Rogers</t>
  </si>
  <si>
    <t>Indigo Parking</t>
  </si>
  <si>
    <t>Google</t>
  </si>
  <si>
    <t>Zoom</t>
  </si>
  <si>
    <t>Bell</t>
  </si>
  <si>
    <t>Best Buy</t>
  </si>
  <si>
    <t>Adobe</t>
  </si>
  <si>
    <t>IKEA</t>
  </si>
  <si>
    <t>Notion</t>
  </si>
  <si>
    <t>Parking fee</t>
  </si>
  <si>
    <t>Cloud storage subscription</t>
  </si>
  <si>
    <t>Sticky notes</t>
  </si>
  <si>
    <t>Excel practise materials</t>
  </si>
  <si>
    <t>Bus fare</t>
  </si>
  <si>
    <t>File folders</t>
  </si>
  <si>
    <t>Zoom subscription</t>
  </si>
  <si>
    <t>Phone bill</t>
  </si>
  <si>
    <t>USB Drive</t>
  </si>
  <si>
    <t>Taxi fare</t>
  </si>
  <si>
    <t>Data analytics course</t>
  </si>
  <si>
    <t>Printer ink</t>
  </si>
  <si>
    <t>Adobe subscription</t>
  </si>
  <si>
    <t>Subway fare</t>
  </si>
  <si>
    <t>Notebooks</t>
  </si>
  <si>
    <t>Excel skills upgrade</t>
  </si>
  <si>
    <t>Desk lamp</t>
  </si>
  <si>
    <t>Productivity tools subscription</t>
  </si>
  <si>
    <t>Row Labels</t>
  </si>
  <si>
    <t>Grand Total</t>
  </si>
  <si>
    <t>Total</t>
  </si>
  <si>
    <t>Sum of Amount ($)</t>
  </si>
  <si>
    <t>(All)</t>
  </si>
  <si>
    <t>Total Spent:</t>
  </si>
  <si>
    <t>Total Records:</t>
  </si>
  <si>
    <t>Avg Transaction:</t>
  </si>
  <si>
    <t>Highest Expense:</t>
  </si>
  <si>
    <t>Start Date:</t>
  </si>
  <si>
    <t>End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</si>
</sst>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[$$-1009]* #,##0.00_-;\-[$$-1009]* #,##0.00_-;_-[$$-1009]* &quot;-&quot;??_-;_-@_-"/>
  </numFmts>
  <fonts count="4" x14ac:knownFonts="1">
    <font>
      <sz val="12"/>
      <color theme="1"/>
      <name val="Aptos Narrow"/>
      <family val="2"/>
      <scheme val="minor"/>
    </font>
    <font>
      <b/>
      <u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4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14" fontId="0" fillId="0" borderId="0" xfId="0" applyNumberFormat="1"/>
    <xf numFmtId="49" fontId="0" fillId="0" borderId="0" xfId="0" applyNumberFormat="1"/>
    <xf numFmtId="165" fontId="0" fillId="0" borderId="0" xfId="0" applyNumberFormat="1"/>
    <xf numFmtId="49" fontId="1" fillId="0" borderId="0" xfId="0" applyNumberFormat="1" applyFont="1"/>
    <xf numFmtId="0" fontId="1" fillId="0" borderId="0" xfId="0" applyFont="1"/>
    <xf numFmtId="1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49" fontId="2" fillId="0" borderId="0" xfId="0" applyNumberFormat="1" applyFont="1"/>
    <xf numFmtId="14" fontId="2" fillId="0" borderId="0" xfId="0" applyNumberFormat="1" applyFont="1"/>
    <xf numFmtId="165" fontId="2" fillId="0" borderId="0" xfId="0" applyNumberFormat="1" applyFont="1"/>
    <xf numFmtId="0" fontId="2" fillId="0" borderId="0" xfId="0" applyFont="1"/>
    <xf numFmtId="165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Fill="1" applyBorder="1" applyAlignment="1">
      <alignment horizontal="right"/>
    </xf>
    <xf numFmtId="14" fontId="3" fillId="0" borderId="0" xfId="0" applyNumberFormat="1" applyFont="1" applyFill="1" applyBorder="1"/>
    <xf numFmtId="0" fontId="0" fillId="0" borderId="0" xfId="0" applyFill="1"/>
    <xf numFmtId="0" fontId="0" fillId="0" borderId="0" xfId="0" applyFont="1" applyFill="1" applyBorder="1" applyAlignment="1">
      <alignment horizontal="right"/>
    </xf>
    <xf numFmtId="165" fontId="3" fillId="0" borderId="0" xfId="0" applyNumberFormat="1" applyFont="1" applyFill="1" applyBorder="1"/>
    <xf numFmtId="0" fontId="0" fillId="2" borderId="1" xfId="0" applyFill="1" applyBorder="1" applyAlignment="1">
      <alignment horizontal="right"/>
    </xf>
    <xf numFmtId="14" fontId="3" fillId="2" borderId="2" xfId="0" applyNumberFormat="1" applyFont="1" applyFill="1" applyBorder="1"/>
    <xf numFmtId="0" fontId="0" fillId="2" borderId="3" xfId="0" applyFill="1" applyBorder="1" applyAlignment="1">
      <alignment horizontal="right"/>
    </xf>
    <xf numFmtId="14" fontId="3" fillId="2" borderId="4" xfId="0" applyNumberFormat="1" applyFont="1" applyFill="1" applyBorder="1"/>
    <xf numFmtId="165" fontId="3" fillId="2" borderId="2" xfId="0" applyNumberFormat="1" applyFont="1" applyFill="1" applyBorder="1"/>
    <xf numFmtId="165" fontId="3" fillId="2" borderId="6" xfId="0" applyNumberFormat="1" applyFont="1" applyFill="1" applyBorder="1"/>
    <xf numFmtId="165" fontId="3" fillId="2" borderId="4" xfId="0" applyNumberFormat="1" applyFont="1" applyFill="1" applyBorder="1"/>
    <xf numFmtId="0" fontId="0" fillId="2" borderId="7" xfId="0" applyFont="1" applyFill="1" applyBorder="1" applyAlignment="1">
      <alignment horizontal="right"/>
    </xf>
    <xf numFmtId="1" fontId="3" fillId="2" borderId="8" xfId="0" applyNumberFormat="1" applyFont="1" applyFill="1" applyBorder="1" applyAlignment="1">
      <alignment horizontal="right"/>
    </xf>
    <xf numFmtId="1" fontId="3" fillId="0" borderId="0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165" formatCode="_-[$$-1009]* #,##0.00_-;\-[$$-1009]* #,##0.00_-;_-[$$-1009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165" formatCode="_-[$$-1009]* #,##0.00_-;\-[$$-1009]* #,##0.00_-;_-[$$-1009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numFmt numFmtId="19" formatCode="yyyy/mm/dd"/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1"/>
        <name val="Aptos Narrow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[Expense_Tracker.xlsx]Dashboard!PivotTable9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Totals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Dashboard!$A$11:$A$16</c:f>
              <c:strCache>
                <c:ptCount val="5"/>
                <c:pt idx="0">
                  <c:v>Office Supplies</c:v>
                </c:pt>
                <c:pt idx="1">
                  <c:v>Software</c:v>
                </c:pt>
                <c:pt idx="2">
                  <c:v>Training</c:v>
                </c:pt>
                <c:pt idx="3">
                  <c:v>Travel</c:v>
                </c:pt>
                <c:pt idx="4">
                  <c:v>Utilities</c:v>
                </c:pt>
              </c:strCache>
            </c:strRef>
          </c:cat>
          <c:val>
            <c:numRef>
              <c:f>Dashboard!$B$11:$B$16</c:f>
              <c:numCache>
                <c:formatCode>_-[$$-1009]* #,##0.00_-;\-[$$-1009]* #,##0.00_-;_-[$$-1009]* "-"??_-;_-@_-</c:formatCode>
                <c:ptCount val="5"/>
                <c:pt idx="0">
                  <c:v>144.38999999999999</c:v>
                </c:pt>
                <c:pt idx="1">
                  <c:v>75.959999999999994</c:v>
                </c:pt>
                <c:pt idx="2">
                  <c:v>166</c:v>
                </c:pt>
                <c:pt idx="3">
                  <c:v>37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2D-614F-B000-13DAF2193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5583168"/>
        <c:axId val="1675378688"/>
      </c:barChart>
      <c:catAx>
        <c:axId val="120558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378688"/>
        <c:crosses val="autoZero"/>
        <c:auto val="1"/>
        <c:lblAlgn val="ctr"/>
        <c:lblOffset val="100"/>
        <c:noMultiLvlLbl val="0"/>
      </c:catAx>
      <c:valAx>
        <c:axId val="167537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1009]* #,##0.00_-;\-[$$-1009]* #,##0.00_-;_-[$$-10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58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[Expense_Tracker.xlsx]Dashboard!PivotTable9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Totals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</c:pivotFmt>
      <c:pivotFmt>
        <c:idx val="2"/>
        <c:spPr>
          <a:solidFill>
            <a:schemeClr val="accent4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4">
              <a:lumMod val="5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</c:spPr>
          <c:dPt>
            <c:idx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83D-E04B-BEC4-D786204BBEB4}"/>
              </c:ext>
            </c:extLst>
          </c:dPt>
          <c:dPt>
            <c:idx val="1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83D-E04B-BEC4-D786204BBEB4}"/>
              </c:ext>
            </c:extLst>
          </c:dPt>
          <c:dPt>
            <c:idx val="2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83D-E04B-BEC4-D786204BBEB4}"/>
              </c:ext>
            </c:extLst>
          </c:dPt>
          <c:dPt>
            <c:idx val="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83D-E04B-BEC4-D786204BBEB4}"/>
              </c:ext>
            </c:extLst>
          </c:dPt>
          <c:dPt>
            <c:idx val="4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C83D-E04B-BEC4-D786204BBEB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Dashboard!$A$11:$A$16</c:f>
              <c:strCache>
                <c:ptCount val="5"/>
                <c:pt idx="0">
                  <c:v>Office Supplies</c:v>
                </c:pt>
                <c:pt idx="1">
                  <c:v>Software</c:v>
                </c:pt>
                <c:pt idx="2">
                  <c:v>Training</c:v>
                </c:pt>
                <c:pt idx="3">
                  <c:v>Travel</c:v>
                </c:pt>
                <c:pt idx="4">
                  <c:v>Utilities</c:v>
                </c:pt>
              </c:strCache>
            </c:strRef>
          </c:cat>
          <c:val>
            <c:numRef>
              <c:f>Dashboard!$B$11:$B$16</c:f>
              <c:numCache>
                <c:formatCode>_-[$$-1009]* #,##0.00_-;\-[$$-1009]* #,##0.00_-;_-[$$-1009]* "-"??_-;_-@_-</c:formatCode>
                <c:ptCount val="5"/>
                <c:pt idx="0">
                  <c:v>144.38999999999999</c:v>
                </c:pt>
                <c:pt idx="1">
                  <c:v>75.959999999999994</c:v>
                </c:pt>
                <c:pt idx="2">
                  <c:v>166</c:v>
                </c:pt>
                <c:pt idx="3">
                  <c:v>37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3D-E04B-BEC4-D786204BB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193040</xdr:colOff>
      <xdr:row>4</xdr:row>
      <xdr:rowOff>30480</xdr:rowOff>
    </xdr:from>
    <xdr:to>
      <xdr:col>16</xdr:col>
      <xdr:colOff>264160</xdr:colOff>
      <xdr:row>19</xdr:row>
      <xdr:rowOff>121920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DC97C4F-43DC-1D63-002B-90D49A9F9A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40640</xdr:colOff>
      <xdr:row>4</xdr:row>
      <xdr:rowOff>30480</xdr:rowOff>
    </xdr:from>
    <xdr:to>
      <xdr:col>10</xdr:col>
      <xdr:colOff>60960</xdr:colOff>
      <xdr:row>19</xdr:row>
      <xdr:rowOff>111760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2BCBC44-FBC0-79D0-997A-3672A51DEF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45.680842592592" createdVersion="8" refreshedVersion="8" minRefreshableVersion="3" recordCount="25" xr:uid="{96A7F76A-9D26-3C46-BE81-E755263DB453}">
  <cacheSource type="worksheet">
    <worksheetSource name="ExpenseTracker"/>
  </cacheSource>
  <cacheFields count="7">
    <cacheField name="Date" numFmtId="14">
      <sharedItems containsSemiMixedTypes="0" containsNonDate="0" containsDate="1" containsString="0" minDate="2026-01-02T00:00:00" maxDate="2026-05-03T00:00:00"/>
    </cacheField>
    <cacheField name="Category / Description" numFmtId="49">
      <sharedItems count="5">
        <s v="Office Supplies"/>
        <s v="Software"/>
        <s v="Travel"/>
        <s v="Training"/>
        <s v="Utilities"/>
      </sharedItems>
    </cacheField>
    <cacheField name="Description" numFmtId="49">
      <sharedItems/>
    </cacheField>
    <cacheField name="Vendor / Supplier" numFmtId="49">
      <sharedItems/>
    </cacheField>
    <cacheField name="Amount ($)" numFmtId="165">
      <sharedItems containsSemiMixedTypes="0" containsString="0" containsNumber="1" minValue="3.3" maxValue="49"/>
    </cacheField>
    <cacheField name="Payment Method" numFmtId="49">
      <sharedItems count="3">
        <s v="Credit Card"/>
        <s v="Debit Card"/>
        <s v="Bank Transfer"/>
      </sharedItems>
    </cacheField>
    <cacheField name="Status" numFmtId="0">
      <sharedItems count="4">
        <s v="Reimbursed"/>
        <s v="Approved"/>
        <s v="Rejected"/>
        <s v="Pend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d v="2026-01-02T00:00:00"/>
    <x v="0"/>
    <s v="Printer paper purchase"/>
    <s v="Staples"/>
    <n v="24.99"/>
    <x v="0"/>
    <x v="0"/>
  </r>
  <r>
    <d v="2026-01-05T00:00:00"/>
    <x v="1"/>
    <s v="Monthly subscription"/>
    <s v="Microsoft"/>
    <n v="19.989999999999998"/>
    <x v="0"/>
    <x v="1"/>
  </r>
  <r>
    <d v="2026-01-10T00:00:00"/>
    <x v="2"/>
    <s v="Local transit fare"/>
    <s v="TTC"/>
    <n v="3.3"/>
    <x v="1"/>
    <x v="0"/>
  </r>
  <r>
    <d v="2026-01-14T00:00:00"/>
    <x v="0"/>
    <s v="Desk organizer"/>
    <s v="Staples"/>
    <n v="12.99"/>
    <x v="0"/>
    <x v="0"/>
  </r>
  <r>
    <d v="2026-01-18T00:00:00"/>
    <x v="3"/>
    <s v="Online course fee"/>
    <s v="Coursera"/>
    <n v="49"/>
    <x v="0"/>
    <x v="1"/>
  </r>
  <r>
    <d v="2026-01-22T00:00:00"/>
    <x v="4"/>
    <s v="Internet payment"/>
    <s v="Rogers"/>
    <n v="35"/>
    <x v="2"/>
    <x v="2"/>
  </r>
  <r>
    <d v="2026-01-27T00:00:00"/>
    <x v="0"/>
    <s v="Desk organizer"/>
    <s v="Staples"/>
    <n v="12.99"/>
    <x v="0"/>
    <x v="0"/>
  </r>
  <r>
    <d v="2026-01-31T00:00:00"/>
    <x v="2"/>
    <s v="Parking fee"/>
    <s v="Indigo Parking"/>
    <n v="8.5"/>
    <x v="1"/>
    <x v="0"/>
  </r>
  <r>
    <d v="2026-02-03T00:00:00"/>
    <x v="1"/>
    <s v="Cloud storage subscription"/>
    <s v="Google"/>
    <n v="9.99"/>
    <x v="0"/>
    <x v="2"/>
  </r>
  <r>
    <d v="2026-02-07T00:00:00"/>
    <x v="0"/>
    <s v="Sticky notes"/>
    <s v="Amazon"/>
    <n v="6.75"/>
    <x v="0"/>
    <x v="0"/>
  </r>
  <r>
    <d v="2026-02-11T00:00:00"/>
    <x v="3"/>
    <s v="Excel practise materials"/>
    <s v="Coursera"/>
    <n v="29"/>
    <x v="0"/>
    <x v="1"/>
  </r>
  <r>
    <d v="2026-02-15T00:00:00"/>
    <x v="2"/>
    <s v="Bus fare"/>
    <s v="TTC"/>
    <n v="3.3"/>
    <x v="1"/>
    <x v="0"/>
  </r>
  <r>
    <d v="2026-02-19T00:00:00"/>
    <x v="0"/>
    <s v="File folders"/>
    <s v="Staples"/>
    <n v="14.2"/>
    <x v="0"/>
    <x v="0"/>
  </r>
  <r>
    <d v="2026-02-23T00:00:00"/>
    <x v="1"/>
    <s v="Zoom subscription"/>
    <s v="Zoom"/>
    <n v="14.99"/>
    <x v="0"/>
    <x v="1"/>
  </r>
  <r>
    <d v="2026-02-28T00:00:00"/>
    <x v="4"/>
    <s v="Phone bill"/>
    <s v="Bell"/>
    <n v="25"/>
    <x v="2"/>
    <x v="1"/>
  </r>
  <r>
    <d v="2026-03-03T00:00:00"/>
    <x v="0"/>
    <s v="USB Drive"/>
    <s v="Best Buy"/>
    <n v="11.99"/>
    <x v="0"/>
    <x v="0"/>
  </r>
  <r>
    <d v="2026-03-07T00:00:00"/>
    <x v="2"/>
    <s v="Taxi fare"/>
    <s v="Uber"/>
    <n v="18.600000000000001"/>
    <x v="0"/>
    <x v="0"/>
  </r>
  <r>
    <d v="2026-03-12T00:00:00"/>
    <x v="3"/>
    <s v="Data analytics course"/>
    <s v="Coursera"/>
    <n v="39"/>
    <x v="0"/>
    <x v="3"/>
  </r>
  <r>
    <d v="2026-03-16T00:00:00"/>
    <x v="0"/>
    <s v="Printer ink"/>
    <s v="Staples"/>
    <n v="29.99"/>
    <x v="0"/>
    <x v="0"/>
  </r>
  <r>
    <d v="2026-03-21T00:00:00"/>
    <x v="1"/>
    <s v="Adobe subscription"/>
    <s v="Adobe"/>
    <n v="22.99"/>
    <x v="0"/>
    <x v="1"/>
  </r>
  <r>
    <d v="2026-03-26T00:00:00"/>
    <x v="2"/>
    <s v="Subway fare"/>
    <s v="TTC"/>
    <n v="3.3"/>
    <x v="1"/>
    <x v="0"/>
  </r>
  <r>
    <d v="2026-03-30T00:00:00"/>
    <x v="0"/>
    <s v="Notebooks"/>
    <s v="Amazon"/>
    <n v="10.5"/>
    <x v="0"/>
    <x v="3"/>
  </r>
  <r>
    <d v="2026-04-04T00:00:00"/>
    <x v="3"/>
    <s v="Excel skills upgrade"/>
    <s v="Coursera"/>
    <n v="49"/>
    <x v="0"/>
    <x v="1"/>
  </r>
  <r>
    <d v="2026-04-10T00:00:00"/>
    <x v="0"/>
    <s v="Desk lamp"/>
    <s v="IKEA"/>
    <n v="19.989999999999998"/>
    <x v="0"/>
    <x v="0"/>
  </r>
  <r>
    <d v="2026-05-02T00:00:00"/>
    <x v="1"/>
    <s v="Productivity tools subscription"/>
    <s v="Notion"/>
    <n v="8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64302A-41BD-C04B-B014-1EC51CD6C882}" name="PivotTable9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0:B16" firstHeaderRow="1" firstDataRow="1" firstDataCol="1" rowPageCount="2" colPageCount="1"/>
  <pivotFields count="7">
    <pivotField numFmtId="14" showAll="0"/>
    <pivotField axis="axisRow"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dataField="1" numFmtId="165" showAll="0"/>
    <pivotField axis="axisPage" showAll="0">
      <items count="4">
        <item x="2"/>
        <item x="0"/>
        <item x="1"/>
        <item t="default"/>
      </items>
    </pivotField>
    <pivotField axis="axisPage" showAll="0">
      <items count="5">
        <item x="1"/>
        <item x="3"/>
        <item x="0"/>
        <item x="2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5" hier="-1"/>
    <pageField fld="6" hier="-1"/>
  </pageFields>
  <dataFields count="1">
    <dataField name="Sum of Amount ($)" fld="4" baseField="0" baseItem="0" numFmtId="165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A7701E-6FF3-D641-AA36-F192F58C3A34}" name="ExpenseTracker" displayName="ExpenseTracker" ref="A1:G27" totalsRowCount="1" headerRowDxfId="14" dataDxfId="15">
  <autoFilter ref="A1:G26" xr:uid="{64A7701E-6FF3-D641-AA36-F192F58C3A34}"/>
  <tableColumns count="7">
    <tableColumn id="1" xr3:uid="{3C589EA4-FCA7-284D-A927-C3509DEFA820}" name="Date" totalsRowLabel="Total" dataDxfId="13" totalsRowDxfId="6"/>
    <tableColumn id="2" xr3:uid="{BB4227D0-C6E8-CD44-9820-AE31A1F4D2FD}" name="Category / Description" dataDxfId="12" totalsRowDxfId="5"/>
    <tableColumn id="3" xr3:uid="{4E3CDA61-5D2D-9F47-88EC-DEFE2F87D1B5}" name="Description" dataDxfId="11" totalsRowDxfId="4"/>
    <tableColumn id="4" xr3:uid="{7443E5DA-C6DE-3442-BC23-6679A3A95A5C}" name="Vendor / Supplier" dataDxfId="10" totalsRowDxfId="3"/>
    <tableColumn id="5" xr3:uid="{9C396684-C511-0745-B8C1-01B02A0C4F24}" name="Amount ($)" totalsRowFunction="sum" dataDxfId="9" totalsRowDxfId="2"/>
    <tableColumn id="6" xr3:uid="{5C822A6B-C1EF-E84C-BD39-B10DDD8EDF1D}" name="Payment Method" dataDxfId="8" totalsRowDxfId="1"/>
    <tableColumn id="7" xr3:uid="{9A21C9F9-A756-7D40-A84F-E05C23FDA296}" name="Status" totalsRowFunction="count" dataDxfId="7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00470-3E10-7745-B2EC-4ACE9380FDBB}">
  <dimension ref="A1:G27"/>
  <sheetViews>
    <sheetView tabSelected="1" zoomScale="134" zoomScaleNormal="125" workbookViewId="0">
      <selection activeCell="C32" sqref="C32"/>
    </sheetView>
  </sheetViews>
  <sheetFormatPr baseColWidth="10" defaultRowHeight="16" x14ac:dyDescent="0.2"/>
  <cols>
    <col min="1" max="1" width="10.5" style="1" bestFit="1" customWidth="1"/>
    <col min="2" max="2" width="24.83203125" style="2" bestFit="1" customWidth="1"/>
    <col min="3" max="3" width="25.83203125" style="17" bestFit="1" customWidth="1"/>
    <col min="4" max="4" width="20" style="17" bestFit="1" customWidth="1"/>
    <col min="5" max="5" width="16.6640625" style="3" bestFit="1" customWidth="1"/>
    <col min="6" max="6" width="20" style="17" bestFit="1" customWidth="1"/>
    <col min="7" max="7" width="11.5" style="19" bestFit="1" customWidth="1"/>
  </cols>
  <sheetData>
    <row r="1" spans="1:7" s="9" customFormat="1" x14ac:dyDescent="0.2">
      <c r="A1" s="6" t="s">
        <v>0</v>
      </c>
      <c r="B1" s="7" t="s">
        <v>6</v>
      </c>
      <c r="C1" s="7" t="s">
        <v>1</v>
      </c>
      <c r="D1" s="7" t="s">
        <v>3</v>
      </c>
      <c r="E1" s="8" t="s">
        <v>5</v>
      </c>
      <c r="F1" s="7" t="s">
        <v>2</v>
      </c>
      <c r="G1" s="9" t="s">
        <v>4</v>
      </c>
    </row>
    <row r="2" spans="1:7" s="9" customFormat="1" x14ac:dyDescent="0.2">
      <c r="A2" s="10">
        <v>46024</v>
      </c>
      <c r="B2" s="11" t="s">
        <v>7</v>
      </c>
      <c r="C2" s="16" t="s">
        <v>26</v>
      </c>
      <c r="D2" s="16" t="s">
        <v>14</v>
      </c>
      <c r="E2" s="15">
        <v>24.99</v>
      </c>
      <c r="F2" s="16" t="s">
        <v>18</v>
      </c>
      <c r="G2" s="18" t="s">
        <v>24</v>
      </c>
    </row>
    <row r="3" spans="1:7" s="9" customFormat="1" x14ac:dyDescent="0.2">
      <c r="A3" s="10">
        <v>46027</v>
      </c>
      <c r="B3" s="11" t="s">
        <v>10</v>
      </c>
      <c r="C3" s="16" t="s">
        <v>27</v>
      </c>
      <c r="D3" s="16" t="s">
        <v>15</v>
      </c>
      <c r="E3" s="15">
        <v>19.989999999999998</v>
      </c>
      <c r="F3" s="16" t="s">
        <v>18</v>
      </c>
      <c r="G3" s="18" t="s">
        <v>23</v>
      </c>
    </row>
    <row r="4" spans="1:7" x14ac:dyDescent="0.2">
      <c r="A4" s="12">
        <v>46032</v>
      </c>
      <c r="B4" s="11" t="s">
        <v>8</v>
      </c>
      <c r="C4" s="16" t="s">
        <v>28</v>
      </c>
      <c r="D4" s="16" t="s">
        <v>29</v>
      </c>
      <c r="E4" s="13">
        <v>3.3</v>
      </c>
      <c r="F4" s="16" t="s">
        <v>19</v>
      </c>
      <c r="G4" s="18" t="s">
        <v>24</v>
      </c>
    </row>
    <row r="5" spans="1:7" x14ac:dyDescent="0.2">
      <c r="A5" s="12">
        <v>46036</v>
      </c>
      <c r="B5" s="11" t="s">
        <v>7</v>
      </c>
      <c r="C5" s="16" t="s">
        <v>30</v>
      </c>
      <c r="D5" s="16" t="s">
        <v>14</v>
      </c>
      <c r="E5" s="13">
        <v>12.99</v>
      </c>
      <c r="F5" s="16" t="s">
        <v>18</v>
      </c>
      <c r="G5" s="18" t="s">
        <v>24</v>
      </c>
    </row>
    <row r="6" spans="1:7" x14ac:dyDescent="0.2">
      <c r="A6" s="12">
        <v>46040</v>
      </c>
      <c r="B6" s="11" t="s">
        <v>11</v>
      </c>
      <c r="C6" s="16" t="s">
        <v>31</v>
      </c>
      <c r="D6" s="16" t="s">
        <v>12</v>
      </c>
      <c r="E6" s="13">
        <v>49</v>
      </c>
      <c r="F6" s="16" t="s">
        <v>18</v>
      </c>
      <c r="G6" s="18" t="s">
        <v>23</v>
      </c>
    </row>
    <row r="7" spans="1:7" x14ac:dyDescent="0.2">
      <c r="A7" s="12">
        <v>46044</v>
      </c>
      <c r="B7" s="11" t="s">
        <v>9</v>
      </c>
      <c r="C7" s="16" t="s">
        <v>32</v>
      </c>
      <c r="D7" s="16" t="s">
        <v>33</v>
      </c>
      <c r="E7" s="13">
        <v>35</v>
      </c>
      <c r="F7" s="16" t="s">
        <v>21</v>
      </c>
      <c r="G7" s="18" t="s">
        <v>25</v>
      </c>
    </row>
    <row r="8" spans="1:7" x14ac:dyDescent="0.2">
      <c r="A8" s="12">
        <v>46049</v>
      </c>
      <c r="B8" s="11" t="s">
        <v>7</v>
      </c>
      <c r="C8" s="16" t="s">
        <v>30</v>
      </c>
      <c r="D8" s="16" t="s">
        <v>14</v>
      </c>
      <c r="E8" s="13">
        <v>12.99</v>
      </c>
      <c r="F8" s="16" t="s">
        <v>18</v>
      </c>
      <c r="G8" s="18" t="s">
        <v>24</v>
      </c>
    </row>
    <row r="9" spans="1:7" x14ac:dyDescent="0.2">
      <c r="A9" s="12">
        <v>46053</v>
      </c>
      <c r="B9" s="11" t="s">
        <v>8</v>
      </c>
      <c r="C9" s="16" t="s">
        <v>42</v>
      </c>
      <c r="D9" s="16" t="s">
        <v>34</v>
      </c>
      <c r="E9" s="13">
        <v>8.5</v>
      </c>
      <c r="F9" s="16" t="s">
        <v>19</v>
      </c>
      <c r="G9" s="18" t="s">
        <v>24</v>
      </c>
    </row>
    <row r="10" spans="1:7" x14ac:dyDescent="0.2">
      <c r="A10" s="12">
        <v>46056</v>
      </c>
      <c r="B10" s="11" t="s">
        <v>10</v>
      </c>
      <c r="C10" s="16" t="s">
        <v>43</v>
      </c>
      <c r="D10" s="16" t="s">
        <v>35</v>
      </c>
      <c r="E10" s="13">
        <v>9.99</v>
      </c>
      <c r="F10" s="16" t="s">
        <v>18</v>
      </c>
      <c r="G10" s="18" t="s">
        <v>25</v>
      </c>
    </row>
    <row r="11" spans="1:7" x14ac:dyDescent="0.2">
      <c r="A11" s="12">
        <v>46060</v>
      </c>
      <c r="B11" s="11" t="s">
        <v>7</v>
      </c>
      <c r="C11" s="16" t="s">
        <v>44</v>
      </c>
      <c r="D11" s="16" t="s">
        <v>13</v>
      </c>
      <c r="E11" s="13">
        <v>6.75</v>
      </c>
      <c r="F11" s="16" t="s">
        <v>18</v>
      </c>
      <c r="G11" s="18" t="s">
        <v>24</v>
      </c>
    </row>
    <row r="12" spans="1:7" x14ac:dyDescent="0.2">
      <c r="A12" s="12">
        <v>46064</v>
      </c>
      <c r="B12" s="11" t="s">
        <v>11</v>
      </c>
      <c r="C12" s="16" t="s">
        <v>45</v>
      </c>
      <c r="D12" s="16" t="s">
        <v>12</v>
      </c>
      <c r="E12" s="13">
        <v>29</v>
      </c>
      <c r="F12" s="16" t="s">
        <v>18</v>
      </c>
      <c r="G12" s="18" t="s">
        <v>23</v>
      </c>
    </row>
    <row r="13" spans="1:7" x14ac:dyDescent="0.2">
      <c r="A13" s="12">
        <v>46068</v>
      </c>
      <c r="B13" s="11" t="s">
        <v>8</v>
      </c>
      <c r="C13" s="16" t="s">
        <v>46</v>
      </c>
      <c r="D13" s="16" t="s">
        <v>29</v>
      </c>
      <c r="E13" s="13">
        <v>3.3</v>
      </c>
      <c r="F13" s="16" t="s">
        <v>19</v>
      </c>
      <c r="G13" s="18" t="s">
        <v>24</v>
      </c>
    </row>
    <row r="14" spans="1:7" x14ac:dyDescent="0.2">
      <c r="A14" s="12">
        <v>46072</v>
      </c>
      <c r="B14" s="11" t="s">
        <v>7</v>
      </c>
      <c r="C14" s="16" t="s">
        <v>47</v>
      </c>
      <c r="D14" s="16" t="s">
        <v>14</v>
      </c>
      <c r="E14" s="13">
        <v>14.2</v>
      </c>
      <c r="F14" s="16" t="s">
        <v>18</v>
      </c>
      <c r="G14" s="18" t="s">
        <v>24</v>
      </c>
    </row>
    <row r="15" spans="1:7" x14ac:dyDescent="0.2">
      <c r="A15" s="12">
        <v>46076</v>
      </c>
      <c r="B15" s="11" t="s">
        <v>10</v>
      </c>
      <c r="C15" s="16" t="s">
        <v>48</v>
      </c>
      <c r="D15" s="16" t="s">
        <v>36</v>
      </c>
      <c r="E15" s="13">
        <v>14.99</v>
      </c>
      <c r="F15" s="16" t="s">
        <v>18</v>
      </c>
      <c r="G15" s="18" t="s">
        <v>23</v>
      </c>
    </row>
    <row r="16" spans="1:7" x14ac:dyDescent="0.2">
      <c r="A16" s="12">
        <v>46081</v>
      </c>
      <c r="B16" s="11" t="s">
        <v>9</v>
      </c>
      <c r="C16" s="16" t="s">
        <v>49</v>
      </c>
      <c r="D16" s="16" t="s">
        <v>37</v>
      </c>
      <c r="E16" s="13">
        <v>25</v>
      </c>
      <c r="F16" s="16" t="s">
        <v>21</v>
      </c>
      <c r="G16" s="18" t="s">
        <v>23</v>
      </c>
    </row>
    <row r="17" spans="1:7" x14ac:dyDescent="0.2">
      <c r="A17" s="12">
        <v>46084</v>
      </c>
      <c r="B17" s="11" t="s">
        <v>7</v>
      </c>
      <c r="C17" s="16" t="s">
        <v>50</v>
      </c>
      <c r="D17" s="16" t="s">
        <v>38</v>
      </c>
      <c r="E17" s="13">
        <v>11.99</v>
      </c>
      <c r="F17" s="16" t="s">
        <v>18</v>
      </c>
      <c r="G17" s="18" t="s">
        <v>24</v>
      </c>
    </row>
    <row r="18" spans="1:7" x14ac:dyDescent="0.2">
      <c r="A18" s="12">
        <v>46088</v>
      </c>
      <c r="B18" s="11" t="s">
        <v>8</v>
      </c>
      <c r="C18" s="16" t="s">
        <v>51</v>
      </c>
      <c r="D18" s="16" t="s">
        <v>16</v>
      </c>
      <c r="E18" s="13">
        <v>18.600000000000001</v>
      </c>
      <c r="F18" s="16" t="s">
        <v>18</v>
      </c>
      <c r="G18" s="18" t="s">
        <v>24</v>
      </c>
    </row>
    <row r="19" spans="1:7" x14ac:dyDescent="0.2">
      <c r="A19" s="12">
        <v>46093</v>
      </c>
      <c r="B19" s="11" t="s">
        <v>11</v>
      </c>
      <c r="C19" s="16" t="s">
        <v>52</v>
      </c>
      <c r="D19" s="16" t="s">
        <v>12</v>
      </c>
      <c r="E19" s="13">
        <v>39</v>
      </c>
      <c r="F19" s="16" t="s">
        <v>18</v>
      </c>
      <c r="G19" s="18" t="s">
        <v>22</v>
      </c>
    </row>
    <row r="20" spans="1:7" x14ac:dyDescent="0.2">
      <c r="A20" s="12">
        <v>46097</v>
      </c>
      <c r="B20" s="11" t="s">
        <v>7</v>
      </c>
      <c r="C20" s="16" t="s">
        <v>53</v>
      </c>
      <c r="D20" s="16" t="s">
        <v>14</v>
      </c>
      <c r="E20" s="13">
        <v>29.99</v>
      </c>
      <c r="F20" s="16" t="s">
        <v>18</v>
      </c>
      <c r="G20" s="18" t="s">
        <v>24</v>
      </c>
    </row>
    <row r="21" spans="1:7" x14ac:dyDescent="0.2">
      <c r="A21" s="12">
        <v>46102</v>
      </c>
      <c r="B21" s="11" t="s">
        <v>10</v>
      </c>
      <c r="C21" s="16" t="s">
        <v>54</v>
      </c>
      <c r="D21" s="16" t="s">
        <v>39</v>
      </c>
      <c r="E21" s="13">
        <v>22.99</v>
      </c>
      <c r="F21" s="16" t="s">
        <v>18</v>
      </c>
      <c r="G21" s="18" t="s">
        <v>23</v>
      </c>
    </row>
    <row r="22" spans="1:7" x14ac:dyDescent="0.2">
      <c r="A22" s="12">
        <v>46107</v>
      </c>
      <c r="B22" s="11" t="s">
        <v>8</v>
      </c>
      <c r="C22" s="16" t="s">
        <v>55</v>
      </c>
      <c r="D22" s="16" t="s">
        <v>29</v>
      </c>
      <c r="E22" s="13">
        <v>3.3</v>
      </c>
      <c r="F22" s="16" t="s">
        <v>19</v>
      </c>
      <c r="G22" s="18" t="s">
        <v>24</v>
      </c>
    </row>
    <row r="23" spans="1:7" x14ac:dyDescent="0.2">
      <c r="A23" s="12">
        <v>46111</v>
      </c>
      <c r="B23" s="11" t="s">
        <v>7</v>
      </c>
      <c r="C23" s="16" t="s">
        <v>56</v>
      </c>
      <c r="D23" s="16" t="s">
        <v>13</v>
      </c>
      <c r="E23" s="13">
        <v>10.5</v>
      </c>
      <c r="F23" s="16" t="s">
        <v>18</v>
      </c>
      <c r="G23" s="18" t="s">
        <v>22</v>
      </c>
    </row>
    <row r="24" spans="1:7" x14ac:dyDescent="0.2">
      <c r="A24" s="12">
        <v>46116</v>
      </c>
      <c r="B24" s="11" t="s">
        <v>11</v>
      </c>
      <c r="C24" s="16" t="s">
        <v>57</v>
      </c>
      <c r="D24" s="16" t="s">
        <v>12</v>
      </c>
      <c r="E24" s="13">
        <v>49</v>
      </c>
      <c r="F24" s="16" t="s">
        <v>18</v>
      </c>
      <c r="G24" s="18" t="s">
        <v>23</v>
      </c>
    </row>
    <row r="25" spans="1:7" x14ac:dyDescent="0.2">
      <c r="A25" s="12">
        <v>46122</v>
      </c>
      <c r="B25" s="11" t="s">
        <v>7</v>
      </c>
      <c r="C25" s="16" t="s">
        <v>58</v>
      </c>
      <c r="D25" s="16" t="s">
        <v>40</v>
      </c>
      <c r="E25" s="13">
        <v>19.989999999999998</v>
      </c>
      <c r="F25" s="16" t="s">
        <v>18</v>
      </c>
      <c r="G25" s="18" t="s">
        <v>24</v>
      </c>
    </row>
    <row r="26" spans="1:7" x14ac:dyDescent="0.2">
      <c r="A26" s="12">
        <v>46144</v>
      </c>
      <c r="B26" s="11" t="s">
        <v>10</v>
      </c>
      <c r="C26" s="16" t="s">
        <v>59</v>
      </c>
      <c r="D26" s="16" t="s">
        <v>41</v>
      </c>
      <c r="E26" s="13">
        <v>8</v>
      </c>
      <c r="F26" s="16" t="s">
        <v>18</v>
      </c>
      <c r="G26" s="18" t="s">
        <v>23</v>
      </c>
    </row>
    <row r="27" spans="1:7" x14ac:dyDescent="0.2">
      <c r="A27" s="14" t="s">
        <v>62</v>
      </c>
      <c r="B27" s="14"/>
      <c r="C27" s="18"/>
      <c r="D27" s="18"/>
      <c r="E27" s="13">
        <f>SUBTOTAL(109,ExpenseTracker[Amount ($)])</f>
        <v>483.35000000000008</v>
      </c>
      <c r="F27" s="18"/>
      <c r="G27" s="18">
        <f>SUBTOTAL(103,ExpenseTracker[Status])</f>
        <v>25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61F78FA-68B4-714F-B12D-BAC17D8FD43C}">
          <x14:formula1>
            <xm:f>Lists!$A$2:$A$6</xm:f>
          </x14:formula1>
          <xm:sqref>B28:B1048576 B2:B26</xm:sqref>
        </x14:dataValidation>
        <x14:dataValidation type="list" allowBlank="1" showInputMessage="1" showErrorMessage="1" xr:uid="{326938B8-8E23-9840-A0E7-96678CDF0A36}">
          <x14:formula1>
            <xm:f>Lists!$C$2:$C$5</xm:f>
          </x14:formula1>
          <xm:sqref>F28:F1048576 F2:F26</xm:sqref>
        </x14:dataValidation>
        <x14:dataValidation type="list" allowBlank="1" showInputMessage="1" showErrorMessage="1" xr:uid="{BDF33D7D-D485-8441-952E-C2C106CD1354}">
          <x14:formula1>
            <xm:f>Lists!$D$2:$D$5</xm:f>
          </x14:formula1>
          <xm:sqref>G28:G1048576 G2:G26</xm:sqref>
        </x14:dataValidation>
        <x14:dataValidation type="date" allowBlank="1" showInputMessage="1" showErrorMessage="1" errorTitle="Nope!" error="no way jose" xr:uid="{0E0879BF-6F04-7248-9295-11C494D294B8}">
          <x14:formula1>
            <xm:f>#REF!</xm:f>
          </x14:formula1>
          <x14:formula2>
            <xm:f>#REF!</xm:f>
          </x14:formula2>
          <xm:sqref>A28:A1048576</xm:sqref>
        </x14:dataValidation>
        <x14:dataValidation type="list" allowBlank="1" showInputMessage="1" showErrorMessage="1" xr:uid="{D229C456-6E7D-394B-8080-DF03FE937419}">
          <x14:formula1>
            <xm:f>Lists!$B$2:$B$18</xm:f>
          </x14:formula1>
          <xm:sqref>D28:D1048576 D1:D26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3E1D9-55F0-5C4E-805B-BDFB82007D9D}">
  <dimension ref="A1:D18"/>
  <sheetViews>
    <sheetView zoomScale="125" zoomScaleNormal="125" workbookViewId="0">
      <selection activeCell="E29" sqref="E29"/>
    </sheetView>
  </sheetViews>
  <sheetFormatPr baseColWidth="10" defaultRowHeight="16" x14ac:dyDescent="0.2"/>
  <cols>
    <col min="1" max="1" width="19.83203125" bestFit="1" customWidth="1"/>
    <col min="2" max="2" width="15.5" bestFit="1" customWidth="1"/>
    <col min="3" max="3" width="15.1640625" bestFit="1" customWidth="1"/>
  </cols>
  <sheetData>
    <row r="1" spans="1:4" s="5" customFormat="1" x14ac:dyDescent="0.2">
      <c r="A1" s="4" t="s">
        <v>6</v>
      </c>
      <c r="B1" s="5" t="s">
        <v>3</v>
      </c>
      <c r="C1" s="5" t="s">
        <v>2</v>
      </c>
      <c r="D1" s="5" t="s">
        <v>4</v>
      </c>
    </row>
    <row r="2" spans="1:4" x14ac:dyDescent="0.2">
      <c r="A2" t="s">
        <v>7</v>
      </c>
      <c r="B2" t="s">
        <v>13</v>
      </c>
      <c r="C2" t="s">
        <v>18</v>
      </c>
      <c r="D2" t="s">
        <v>23</v>
      </c>
    </row>
    <row r="3" spans="1:4" x14ac:dyDescent="0.2">
      <c r="A3" t="s">
        <v>10</v>
      </c>
      <c r="B3" t="s">
        <v>39</v>
      </c>
      <c r="C3" t="s">
        <v>21</v>
      </c>
      <c r="D3" t="s">
        <v>22</v>
      </c>
    </row>
    <row r="4" spans="1:4" x14ac:dyDescent="0.2">
      <c r="A4" t="s">
        <v>11</v>
      </c>
      <c r="B4" t="s">
        <v>37</v>
      </c>
      <c r="C4" t="s">
        <v>20</v>
      </c>
      <c r="D4" t="s">
        <v>24</v>
      </c>
    </row>
    <row r="5" spans="1:4" x14ac:dyDescent="0.2">
      <c r="A5" t="s">
        <v>8</v>
      </c>
      <c r="B5" t="s">
        <v>38</v>
      </c>
      <c r="C5" t="s">
        <v>19</v>
      </c>
      <c r="D5" t="s">
        <v>25</v>
      </c>
    </row>
    <row r="6" spans="1:4" x14ac:dyDescent="0.2">
      <c r="A6" t="s">
        <v>9</v>
      </c>
      <c r="B6" t="s">
        <v>12</v>
      </c>
    </row>
    <row r="7" spans="1:4" x14ac:dyDescent="0.2">
      <c r="B7" t="s">
        <v>35</v>
      </c>
    </row>
    <row r="8" spans="1:4" x14ac:dyDescent="0.2">
      <c r="B8" t="s">
        <v>40</v>
      </c>
    </row>
    <row r="9" spans="1:4" x14ac:dyDescent="0.2">
      <c r="B9" t="s">
        <v>34</v>
      </c>
    </row>
    <row r="10" spans="1:4" x14ac:dyDescent="0.2">
      <c r="B10" t="s">
        <v>15</v>
      </c>
    </row>
    <row r="11" spans="1:4" x14ac:dyDescent="0.2">
      <c r="B11" t="s">
        <v>41</v>
      </c>
    </row>
    <row r="12" spans="1:4" x14ac:dyDescent="0.2">
      <c r="B12" t="s">
        <v>17</v>
      </c>
    </row>
    <row r="13" spans="1:4" x14ac:dyDescent="0.2">
      <c r="B13" t="s">
        <v>33</v>
      </c>
    </row>
    <row r="14" spans="1:4" x14ac:dyDescent="0.2">
      <c r="B14" t="s">
        <v>14</v>
      </c>
    </row>
    <row r="15" spans="1:4" x14ac:dyDescent="0.2">
      <c r="B15" t="s">
        <v>29</v>
      </c>
    </row>
    <row r="16" spans="1:4" x14ac:dyDescent="0.2">
      <c r="B16" t="s">
        <v>16</v>
      </c>
    </row>
    <row r="17" spans="2:2" x14ac:dyDescent="0.2">
      <c r="B17" t="s">
        <v>16</v>
      </c>
    </row>
    <row r="18" spans="2:2" x14ac:dyDescent="0.2">
      <c r="B18" t="s">
        <v>36</v>
      </c>
    </row>
  </sheetData>
  <sortState xmlns:xlrd2="http://schemas.microsoft.com/office/spreadsheetml/2017/richdata2" ref="D3:D5">
    <sortCondition ref="D2:D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F4D8D-7971-3342-A479-06EDE1EE4050}">
  <dimension ref="A1:H16"/>
  <sheetViews>
    <sheetView zoomScale="125" zoomScaleNormal="125" workbookViewId="0">
      <selection activeCell="L32" sqref="L32"/>
    </sheetView>
  </sheetViews>
  <sheetFormatPr baseColWidth="10" defaultRowHeight="16" x14ac:dyDescent="0.2"/>
  <cols>
    <col min="1" max="1" width="14.6640625" bestFit="1" customWidth="1"/>
    <col min="2" max="2" width="16.5" bestFit="1" customWidth="1"/>
    <col min="3" max="3" width="2.1640625" bestFit="1" customWidth="1"/>
    <col min="4" max="4" width="14.83203125" bestFit="1" customWidth="1"/>
    <col min="5" max="5" width="10.6640625" bestFit="1" customWidth="1"/>
    <col min="6" max="6" width="2.1640625" bestFit="1" customWidth="1"/>
    <col min="7" max="7" width="12.6640625" bestFit="1" customWidth="1"/>
    <col min="8" max="8" width="3.6640625" bestFit="1" customWidth="1"/>
  </cols>
  <sheetData>
    <row r="1" spans="1:8" ht="20" thickBot="1" x14ac:dyDescent="0.3">
      <c r="A1" s="26" t="s">
        <v>69</v>
      </c>
      <c r="B1" s="27">
        <f>MIN(ExpenseTracker[Date])</f>
        <v>46024</v>
      </c>
      <c r="D1" s="36" t="s">
        <v>65</v>
      </c>
      <c r="E1" s="30">
        <f>ExpenseTracker[[#Totals],[Amount ($)]]</f>
        <v>483.35000000000008</v>
      </c>
      <c r="G1" s="33" t="s">
        <v>66</v>
      </c>
      <c r="H1" s="34">
        <f>ExpenseTracker[[#Totals],[Status]]</f>
        <v>25</v>
      </c>
    </row>
    <row r="2" spans="1:8" ht="20" thickBot="1" x14ac:dyDescent="0.3">
      <c r="A2" s="28" t="s">
        <v>70</v>
      </c>
      <c r="B2" s="29">
        <f>MAX(ExpenseTracker[Date])</f>
        <v>46144</v>
      </c>
      <c r="D2" s="37" t="s">
        <v>67</v>
      </c>
      <c r="E2" s="31">
        <f>AVERAGE(ExpenseTracker[Amount ($)])</f>
        <v>19.334000000000003</v>
      </c>
    </row>
    <row r="3" spans="1:8" s="23" customFormat="1" ht="20" thickBot="1" x14ac:dyDescent="0.3">
      <c r="A3" s="21"/>
      <c r="B3" s="22"/>
      <c r="D3" s="38" t="s">
        <v>68</v>
      </c>
      <c r="E3" s="32">
        <f>MAX(ExpenseTracker[Amount ($)])</f>
        <v>49</v>
      </c>
    </row>
    <row r="4" spans="1:8" s="23" customFormat="1" ht="19" x14ac:dyDescent="0.25">
      <c r="D4" s="24"/>
      <c r="E4" s="25"/>
    </row>
    <row r="5" spans="1:8" s="23" customFormat="1" ht="19" x14ac:dyDescent="0.25">
      <c r="A5" s="24"/>
      <c r="B5" s="35"/>
      <c r="D5" s="24"/>
      <c r="E5" s="25"/>
    </row>
    <row r="6" spans="1:8" s="23" customFormat="1" ht="19" x14ac:dyDescent="0.25">
      <c r="A6"/>
      <c r="B6"/>
      <c r="C6"/>
      <c r="D6" s="24"/>
      <c r="E6" s="25"/>
    </row>
    <row r="7" spans="1:8" s="23" customFormat="1" ht="19" x14ac:dyDescent="0.25">
      <c r="A7" s="20" t="s">
        <v>2</v>
      </c>
      <c r="B7" t="s">
        <v>64</v>
      </c>
      <c r="C7"/>
      <c r="D7" s="24"/>
      <c r="E7" s="25"/>
    </row>
    <row r="8" spans="1:8" x14ac:dyDescent="0.2">
      <c r="A8" s="20" t="s">
        <v>4</v>
      </c>
      <c r="B8" t="s">
        <v>64</v>
      </c>
    </row>
    <row r="10" spans="1:8" x14ac:dyDescent="0.2">
      <c r="A10" s="20" t="s">
        <v>60</v>
      </c>
      <c r="B10" t="s">
        <v>63</v>
      </c>
    </row>
    <row r="11" spans="1:8" x14ac:dyDescent="0.2">
      <c r="A11" s="19" t="s">
        <v>7</v>
      </c>
      <c r="B11" s="3">
        <v>144.38999999999999</v>
      </c>
    </row>
    <row r="12" spans="1:8" x14ac:dyDescent="0.2">
      <c r="A12" s="19" t="s">
        <v>10</v>
      </c>
      <c r="B12" s="3">
        <v>75.959999999999994</v>
      </c>
    </row>
    <row r="13" spans="1:8" x14ac:dyDescent="0.2">
      <c r="A13" s="19" t="s">
        <v>11</v>
      </c>
      <c r="B13" s="3">
        <v>166</v>
      </c>
    </row>
    <row r="14" spans="1:8" x14ac:dyDescent="0.2">
      <c r="A14" s="19" t="s">
        <v>8</v>
      </c>
      <c r="B14" s="3">
        <v>37</v>
      </c>
    </row>
    <row r="15" spans="1:8" x14ac:dyDescent="0.2">
      <c r="A15" s="19" t="s">
        <v>9</v>
      </c>
      <c r="B15" s="3">
        <v>60</v>
      </c>
    </row>
    <row r="16" spans="1:8" x14ac:dyDescent="0.2">
      <c r="A16" s="19" t="s">
        <v>61</v>
      </c>
      <c r="B16" s="3">
        <v>483.34999999999997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Expenses</vt:lpstr>
      <vt:lpstr>Lists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Mann</dc:creator>
  <cp:lastModifiedBy>Ron Mann</cp:lastModifiedBy>
  <dcterms:created xsi:type="dcterms:W3CDTF">2026-05-02T17:14:25Z</dcterms:created>
  <dcterms:modified xsi:type="dcterms:W3CDTF">2026-05-03T20:33:10Z</dcterms:modified>
</cp:coreProperties>
</file>